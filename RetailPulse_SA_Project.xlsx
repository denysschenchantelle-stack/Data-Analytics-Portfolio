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27116383-6EB3-497D-AD47-33EF0E6922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7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/>
  <c r="S2" i="1"/>
  <c r="R6" i="1"/>
  <c r="R5" i="1"/>
  <c r="R4" i="1"/>
  <c r="R3" i="1"/>
  <c r="R2" i="1"/>
  <c r="P5" i="1"/>
  <c r="P4" i="1"/>
  <c r="P3" i="1"/>
  <c r="P2" i="1"/>
  <c r="N5" i="1"/>
  <c r="N4" i="1"/>
  <c r="N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<sst xmlns="http://schemas.openxmlformats.org/spreadsheetml/2006/main" count="406" uniqueCount="103">
  <si>
    <t>Sum of Revenue</t>
  </si>
  <si>
    <t>category</t>
  </si>
  <si>
    <t>province</t>
  </si>
  <si>
    <t>Appliances</t>
  </si>
  <si>
    <t>Clothing</t>
  </si>
  <si>
    <t>Electronics</t>
  </si>
  <si>
    <t>Furniture</t>
  </si>
  <si>
    <t>Grand Total</t>
  </si>
  <si>
    <t>Gauteng</t>
  </si>
  <si>
    <t>KZN</t>
  </si>
  <si>
    <t>Limpopo</t>
  </si>
  <si>
    <t>Western Cape</t>
  </si>
  <si>
    <t>sale_id</t>
  </si>
  <si>
    <t>store_name</t>
  </si>
  <si>
    <t>product_name</t>
  </si>
  <si>
    <t>quantity</t>
  </si>
  <si>
    <t>unit_price</t>
  </si>
  <si>
    <t>customer_name</t>
  </si>
  <si>
    <t>customer_age</t>
  </si>
  <si>
    <t>sale_date</t>
  </si>
  <si>
    <t>payment_method</t>
  </si>
  <si>
    <t>Revenue</t>
  </si>
  <si>
    <t>Province</t>
  </si>
  <si>
    <t>Totale Revenue</t>
  </si>
  <si>
    <t>Category</t>
  </si>
  <si>
    <t>Sales</t>
  </si>
  <si>
    <t>Unit Price "Laptop"</t>
  </si>
  <si>
    <t>Customer Segment</t>
  </si>
  <si>
    <t>Sandton City</t>
  </si>
  <si>
    <t>Laptop</t>
  </si>
  <si>
    <t>Sipho Dlamini</t>
  </si>
  <si>
    <t>Credit Card</t>
  </si>
  <si>
    <t>V&amp;A Waterfront</t>
  </si>
  <si>
    <t>Running Shoes</t>
  </si>
  <si>
    <t>Aisha Patel</t>
  </si>
  <si>
    <t>Cash</t>
  </si>
  <si>
    <t>Gateway</t>
  </si>
  <si>
    <t>Coffee Maker</t>
  </si>
  <si>
    <t>Johan van der Berg</t>
  </si>
  <si>
    <t>Debit Card</t>
  </si>
  <si>
    <t>Office Chair</t>
  </si>
  <si>
    <t>Lerato Mokoena</t>
  </si>
  <si>
    <t>Cavendish</t>
  </si>
  <si>
    <t>Priya Naidoo</t>
  </si>
  <si>
    <t>Savannah Mall</t>
  </si>
  <si>
    <t>Microwave</t>
  </si>
  <si>
    <t>Bongani Zulu</t>
  </si>
  <si>
    <t>T-Shirt</t>
  </si>
  <si>
    <t>Chanel Peters</t>
  </si>
  <si>
    <t>Desk</t>
  </si>
  <si>
    <t>Rohan Govender</t>
  </si>
  <si>
    <t>Nomvula Mahlangu</t>
  </si>
  <si>
    <t>Thabo Molefe</t>
  </si>
  <si>
    <t>Yolanda Fourie</t>
  </si>
  <si>
    <t>Deon Jacobs</t>
  </si>
  <si>
    <t>Carla Bester</t>
  </si>
  <si>
    <t>Jason Adams</t>
  </si>
  <si>
    <t>Megan van Wyk</t>
  </si>
  <si>
    <t>Sibusiso Nkosi</t>
  </si>
  <si>
    <t>Fatima Hendricks</t>
  </si>
  <si>
    <t>Andre du Plessis</t>
  </si>
  <si>
    <t>Zanele Moyo</t>
  </si>
  <si>
    <t>Pieter Botha</t>
  </si>
  <si>
    <t>Nadia Coetzee</t>
  </si>
  <si>
    <t>Lungelo Khumalo</t>
  </si>
  <si>
    <t>Samantha Lee</t>
  </si>
  <si>
    <t>Mpho Sithole</t>
  </si>
  <si>
    <t>Gerhard Visser</t>
  </si>
  <si>
    <t>Thandeka Zulu</t>
  </si>
  <si>
    <t>Riaan Pretorius</t>
  </si>
  <si>
    <t>Busisiwe Mthembu</t>
  </si>
  <si>
    <t>Calvin Peters</t>
  </si>
  <si>
    <t>Ayesha Abrahams</t>
  </si>
  <si>
    <t>Heinrich Müller</t>
  </si>
  <si>
    <t>Dikeledi Radebe</t>
  </si>
  <si>
    <t>Suraya Isaacs</t>
  </si>
  <si>
    <t>Mandla Ntuli</t>
  </si>
  <si>
    <t>Elizma Smit</t>
  </si>
  <si>
    <t>Kwame Asante</t>
  </si>
  <si>
    <t>Vanessa Naidoo</t>
  </si>
  <si>
    <t>Thulani Cele</t>
  </si>
  <si>
    <t>Marelize Joubert</t>
  </si>
  <si>
    <t>Sifiso Dube</t>
  </si>
  <si>
    <t>Roxanne Adams</t>
  </si>
  <si>
    <t>Nkosinathi Mthembu</t>
  </si>
  <si>
    <t>Liezel van Zyl</t>
  </si>
  <si>
    <t>Themba Mokoena</t>
  </si>
  <si>
    <t>Candice Bosman</t>
  </si>
  <si>
    <t>Siphamandla Gumede</t>
  </si>
  <si>
    <t>Wilma Cronje</t>
  </si>
  <si>
    <t>Siyanda Dlamini</t>
  </si>
  <si>
    <t>Taryn Fisher</t>
  </si>
  <si>
    <t>Nokuthula Zondo</t>
  </si>
  <si>
    <t>Lebo Moloi</t>
  </si>
  <si>
    <t>Rethabile Sithole</t>
  </si>
  <si>
    <t>Marco van der Walt</t>
  </si>
  <si>
    <t>Naledi Dlamini</t>
  </si>
  <si>
    <t>Ashwin Pillay</t>
  </si>
  <si>
    <t>Thembi Khumalo</t>
  </si>
  <si>
    <t>Gareth Muller</t>
  </si>
  <si>
    <t>Zandi Mokoena</t>
  </si>
  <si>
    <t>Charmaine Fourie</t>
  </si>
  <si>
    <t>Tshepo Radebe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</si>
</sst>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77467939815" createdVersion="8" refreshedVersion="8" minRefreshableVersion="3" recordCount="60" xr:uid="{048AF0B2-1446-45C1-BB36-4553C99DDA95}">
  <cacheSource type="worksheet">
    <worksheetSource ref="A1:L61" sheet="Sheet1"/>
  </cacheSource>
  <cacheFields count="12">
    <cacheField name="sale_id" numFmtId="0">
      <sharedItems containsSemiMixedTypes="0" containsString="0" containsNumber="1" containsInteger="1" minValue="1" maxValue="60"/>
    </cacheField>
    <cacheField name="store_name" numFmtId="0">
      <sharedItems/>
    </cacheField>
    <cacheField name="province" numFmtId="0">
      <sharedItems count="4">
        <s v="Gauteng"/>
        <s v="Western Cape"/>
        <s v="KZN"/>
        <s v="Limpopo"/>
      </sharedItems>
    </cacheField>
    <cacheField name="product_name" numFmtId="0">
      <sharedItems/>
    </cacheField>
    <cacheField name="category" numFmtId="0">
      <sharedItems count="4">
        <s v="Electronics"/>
        <s v="Clothing"/>
        <s v="Appliances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350" maxValue="15000"/>
    </cacheField>
    <cacheField name="customer_name" numFmtId="0">
      <sharedItems/>
    </cacheField>
    <cacheField name="customer_age" numFmtId="0">
      <sharedItems containsSemiMixedTypes="0" containsString="0" containsNumber="1" containsInteger="1" minValue="23" maxValue="52"/>
    </cacheField>
    <cacheField name="sale_date" numFmtId="14">
      <sharedItems containsSemiMixedTypes="0" containsNonDate="0" containsDate="1" containsString="0" minDate="2023-01-05T00:00:00" maxDate="2023-07-30T00:00:00"/>
    </cacheField>
    <cacheField name="payment_method" numFmtId="0">
      <sharedItems/>
    </cacheField>
    <cacheField name="Revenue" numFmtId="0">
      <sharedItems containsSemiMixedTypes="0" containsString="0" containsNumber="1" containsInteger="1" minValue="105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Sandton City"/>
    <x v="0"/>
    <s v="Laptop"/>
    <x v="0"/>
    <n v="2"/>
    <n v="15000"/>
    <s v="Sipho Dlamini"/>
    <n v="34"/>
    <d v="2023-01-05T00:00:00"/>
    <s v="Credit Card"/>
    <n v="30000"/>
  </r>
  <r>
    <n v="2"/>
    <s v="V&amp;A Waterfront"/>
    <x v="1"/>
    <s v="Running Shoes"/>
    <x v="1"/>
    <n v="1"/>
    <n v="1200"/>
    <s v="Aisha Patel"/>
    <n v="28"/>
    <d v="2023-01-08T00:00:00"/>
    <s v="Cash"/>
    <n v="1200"/>
  </r>
  <r>
    <n v="3"/>
    <s v="Gateway"/>
    <x v="2"/>
    <s v="Coffee Maker"/>
    <x v="2"/>
    <n v="1"/>
    <n v="2500"/>
    <s v="Johan van der Berg"/>
    <n v="45"/>
    <d v="2023-01-12T00:00:00"/>
    <s v="Debit Card"/>
    <n v="2500"/>
  </r>
  <r>
    <n v="4"/>
    <s v="Sandton City"/>
    <x v="0"/>
    <s v="Office Chair"/>
    <x v="3"/>
    <n v="2"/>
    <n v="3500"/>
    <s v="Lerato Mokoena"/>
    <n v="31"/>
    <d v="2023-01-15T00:00:00"/>
    <s v="Credit Card"/>
    <n v="7000"/>
  </r>
  <r>
    <n v="5"/>
    <s v="Cavendish"/>
    <x v="1"/>
    <s v="Laptop"/>
    <x v="0"/>
    <n v="1"/>
    <n v="15000"/>
    <s v="Priya Naidoo"/>
    <n v="27"/>
    <d v="2023-01-19T00:00:00"/>
    <s v="Credit Card"/>
    <n v="15000"/>
  </r>
  <r>
    <n v="6"/>
    <s v="Savannah Mall"/>
    <x v="3"/>
    <s v="Microwave"/>
    <x v="2"/>
    <n v="1"/>
    <n v="1800"/>
    <s v="Bongani Zulu"/>
    <n v="52"/>
    <d v="2023-01-22T00:00:00"/>
    <s v="Cash"/>
    <n v="1800"/>
  </r>
  <r>
    <n v="7"/>
    <s v="Sandton City"/>
    <x v="0"/>
    <s v="T-Shirt"/>
    <x v="1"/>
    <n v="3"/>
    <n v="350"/>
    <s v="Chanel Peters"/>
    <n v="23"/>
    <d v="2023-01-26T00:00:00"/>
    <s v="Debit Card"/>
    <n v="1050"/>
  </r>
  <r>
    <n v="8"/>
    <s v="Gateway"/>
    <x v="2"/>
    <s v="Desk"/>
    <x v="3"/>
    <n v="1"/>
    <n v="4200"/>
    <s v="Rohan Govender"/>
    <n v="38"/>
    <d v="2023-01-29T00:00:00"/>
    <s v="Credit Card"/>
    <n v="4200"/>
  </r>
  <r>
    <n v="9"/>
    <s v="Sandton City"/>
    <x v="0"/>
    <s v="Laptop"/>
    <x v="0"/>
    <n v="1"/>
    <n v="15000"/>
    <s v="Nomvula Mahlangu"/>
    <n v="41"/>
    <d v="2023-02-02T00:00:00"/>
    <s v="Credit Card"/>
    <n v="15000"/>
  </r>
  <r>
    <n v="10"/>
    <s v="V&amp;A Waterfront"/>
    <x v="1"/>
    <s v="Coffee Maker"/>
    <x v="2"/>
    <n v="2"/>
    <n v="2500"/>
    <s v="Thabo Molefe"/>
    <n v="29"/>
    <d v="2023-02-05T00:00:00"/>
    <s v="Cash"/>
    <n v="5000"/>
  </r>
  <r>
    <n v="11"/>
    <s v="Savannah Mall"/>
    <x v="3"/>
    <s v="Running Shoes"/>
    <x v="1"/>
    <n v="2"/>
    <n v="1200"/>
    <s v="Yolanda Fourie"/>
    <n v="35"/>
    <d v="2023-02-09T00:00:00"/>
    <s v="Debit Card"/>
    <n v="2400"/>
  </r>
  <r>
    <n v="12"/>
    <s v="Gateway"/>
    <x v="2"/>
    <s v="Laptop"/>
    <x v="0"/>
    <n v="1"/>
    <n v="15000"/>
    <s v="Deon Jacobs"/>
    <n v="44"/>
    <d v="2023-02-12T00:00:00"/>
    <s v="Credit Card"/>
    <n v="15000"/>
  </r>
  <r>
    <n v="13"/>
    <s v="Sandton City"/>
    <x v="0"/>
    <s v="Microwave"/>
    <x v="2"/>
    <n v="1"/>
    <n v="1800"/>
    <s v="Carla Bester"/>
    <n v="33"/>
    <d v="2023-02-16T00:00:00"/>
    <s v="Cash"/>
    <n v="1800"/>
  </r>
  <r>
    <n v="14"/>
    <s v="Cavendish"/>
    <x v="1"/>
    <s v="Office Chair"/>
    <x v="3"/>
    <n v="1"/>
    <n v="3500"/>
    <s v="Jason Adams"/>
    <n v="26"/>
    <d v="2023-02-19T00:00:00"/>
    <s v="Debit Card"/>
    <n v="3500"/>
  </r>
  <r>
    <n v="15"/>
    <s v="Sandton City"/>
    <x v="0"/>
    <s v="Running Shoes"/>
    <x v="1"/>
    <n v="2"/>
    <n v="1200"/>
    <s v="Megan van Wyk"/>
    <n v="30"/>
    <d v="2023-02-23T00:00:00"/>
    <s v="Credit Card"/>
    <n v="2400"/>
  </r>
  <r>
    <n v="16"/>
    <s v="Savannah Mall"/>
    <x v="3"/>
    <s v="Desk"/>
    <x v="3"/>
    <n v="1"/>
    <n v="4200"/>
    <s v="Sibusiso Nkosi"/>
    <n v="48"/>
    <d v="2023-02-26T00:00:00"/>
    <s v="Cash"/>
    <n v="4200"/>
  </r>
  <r>
    <n v="17"/>
    <s v="V&amp;A Waterfront"/>
    <x v="1"/>
    <s v="Laptop"/>
    <x v="0"/>
    <n v="1"/>
    <n v="15000"/>
    <s v="Fatima Hendricks"/>
    <n v="36"/>
    <d v="2023-03-02T00:00:00"/>
    <s v="Credit Card"/>
    <n v="15000"/>
  </r>
  <r>
    <n v="18"/>
    <s v="Sandton City"/>
    <x v="0"/>
    <s v="Coffee Maker"/>
    <x v="2"/>
    <n v="2"/>
    <n v="2500"/>
    <s v="Andre du Plessis"/>
    <n v="42"/>
    <d v="2023-03-05T00:00:00"/>
    <s v="Debit Card"/>
    <n v="5000"/>
  </r>
  <r>
    <n v="19"/>
    <s v="Gateway"/>
    <x v="2"/>
    <s v="T-Shirt"/>
    <x v="1"/>
    <n v="4"/>
    <n v="350"/>
    <s v="Zanele Moyo"/>
    <n v="25"/>
    <d v="2023-03-09T00:00:00"/>
    <s v="Cash"/>
    <n v="1400"/>
  </r>
  <r>
    <n v="20"/>
    <s v="Sandton City"/>
    <x v="0"/>
    <s v="Laptop"/>
    <x v="0"/>
    <n v="2"/>
    <n v="15000"/>
    <s v="Pieter Botha"/>
    <n v="39"/>
    <d v="2023-03-12T00:00:00"/>
    <s v="Credit Card"/>
    <n v="30000"/>
  </r>
  <r>
    <n v="21"/>
    <s v="Cavendish"/>
    <x v="1"/>
    <s v="Microwave"/>
    <x v="2"/>
    <n v="1"/>
    <n v="1800"/>
    <s v="Nadia Coetzee"/>
    <n v="31"/>
    <d v="2023-03-16T00:00:00"/>
    <s v="Cash"/>
    <n v="1800"/>
  </r>
  <r>
    <n v="22"/>
    <s v="Gateway"/>
    <x v="2"/>
    <s v="Office Chair"/>
    <x v="3"/>
    <n v="2"/>
    <n v="3500"/>
    <s v="Lungelo Khumalo"/>
    <n v="47"/>
    <d v="2023-03-19T00:00:00"/>
    <s v="Debit Card"/>
    <n v="7000"/>
  </r>
  <r>
    <n v="23"/>
    <s v="Savannah Mall"/>
    <x v="3"/>
    <s v="Laptop"/>
    <x v="0"/>
    <n v="1"/>
    <n v="15000"/>
    <s v="Samantha Lee"/>
    <n v="28"/>
    <d v="2023-03-23T00:00:00"/>
    <s v="Credit Card"/>
    <n v="15000"/>
  </r>
  <r>
    <n v="24"/>
    <s v="Sandton City"/>
    <x v="0"/>
    <s v="Running Shoes"/>
    <x v="1"/>
    <n v="1"/>
    <n v="1200"/>
    <s v="Mpho Sithole"/>
    <n v="35"/>
    <d v="2023-03-26T00:00:00"/>
    <s v="Cash"/>
    <n v="1200"/>
  </r>
  <r>
    <n v="25"/>
    <s v="V&amp;A Waterfront"/>
    <x v="1"/>
    <s v="Desk"/>
    <x v="3"/>
    <n v="1"/>
    <n v="4200"/>
    <s v="Gerhard Visser"/>
    <n v="43"/>
    <d v="2023-03-29T00:00:00"/>
    <s v="Debit Card"/>
    <n v="4200"/>
  </r>
  <r>
    <n v="26"/>
    <s v="Gateway"/>
    <x v="2"/>
    <s v="Coffee Maker"/>
    <x v="2"/>
    <n v="1"/>
    <n v="2500"/>
    <s v="Thandeka Zulu"/>
    <n v="32"/>
    <d v="2023-04-02T00:00:00"/>
    <s v="Credit Card"/>
    <n v="2500"/>
  </r>
  <r>
    <n v="27"/>
    <s v="Sandton City"/>
    <x v="0"/>
    <s v="T-Shirt"/>
    <x v="1"/>
    <n v="5"/>
    <n v="350"/>
    <s v="Riaan Pretorius"/>
    <n v="27"/>
    <d v="2023-04-05T00:00:00"/>
    <s v="Cash"/>
    <n v="1750"/>
  </r>
  <r>
    <n v="28"/>
    <s v="Cavendish"/>
    <x v="1"/>
    <s v="Laptop"/>
    <x v="0"/>
    <n v="2"/>
    <n v="15000"/>
    <s v="Busisiwe Mthembu"/>
    <n v="38"/>
    <d v="2023-04-09T00:00:00"/>
    <s v="Credit Card"/>
    <n v="30000"/>
  </r>
  <r>
    <n v="29"/>
    <s v="Savannah Mall"/>
    <x v="3"/>
    <s v="Office Chair"/>
    <x v="3"/>
    <n v="1"/>
    <n v="3500"/>
    <s v="Calvin Peters"/>
    <n v="51"/>
    <d v="2023-04-12T00:00:00"/>
    <s v="Debit Card"/>
    <n v="3500"/>
  </r>
  <r>
    <n v="30"/>
    <s v="Sandton City"/>
    <x v="0"/>
    <s v="Microwave"/>
    <x v="2"/>
    <n v="2"/>
    <n v="1800"/>
    <s v="Ayesha Abrahams"/>
    <n v="29"/>
    <d v="2023-04-16T00:00:00"/>
    <s v="Cash"/>
    <n v="3600"/>
  </r>
  <r>
    <n v="31"/>
    <s v="Gateway"/>
    <x v="2"/>
    <s v="Running Shoes"/>
    <x v="1"/>
    <n v="2"/>
    <n v="1200"/>
    <s v="Heinrich Müller"/>
    <n v="44"/>
    <d v="2023-04-19T00:00:00"/>
    <s v="Debit Card"/>
    <n v="2400"/>
  </r>
  <r>
    <n v="32"/>
    <s v="V&amp;A Waterfront"/>
    <x v="1"/>
    <s v="Coffee Maker"/>
    <x v="2"/>
    <n v="1"/>
    <n v="2500"/>
    <s v="Dikeledi Radebe"/>
    <n v="33"/>
    <d v="2023-04-23T00:00:00"/>
    <s v="Credit Card"/>
    <n v="2500"/>
  </r>
  <r>
    <n v="33"/>
    <s v="Sandton City"/>
    <x v="0"/>
    <s v="Desk"/>
    <x v="3"/>
    <n v="1"/>
    <n v="4200"/>
    <s v="Suraya Isaacs"/>
    <n v="37"/>
    <d v="2023-04-26T00:00:00"/>
    <s v="Cash"/>
    <n v="4200"/>
  </r>
  <r>
    <n v="34"/>
    <s v="Savannah Mall"/>
    <x v="3"/>
    <s v="T-Shirt"/>
    <x v="1"/>
    <n v="3"/>
    <n v="350"/>
    <s v="Mandla Ntuli"/>
    <n v="24"/>
    <d v="2023-04-29T00:00:00"/>
    <s v="Debit Card"/>
    <n v="1050"/>
  </r>
  <r>
    <n v="35"/>
    <s v="Cavendish"/>
    <x v="1"/>
    <s v="Laptop"/>
    <x v="0"/>
    <n v="1"/>
    <n v="15000"/>
    <s v="Elizma Smit"/>
    <n v="41"/>
    <d v="2023-05-03T00:00:00"/>
    <s v="Credit Card"/>
    <n v="15000"/>
  </r>
  <r>
    <n v="36"/>
    <s v="Gateway"/>
    <x v="2"/>
    <s v="Microwave"/>
    <x v="2"/>
    <n v="2"/>
    <n v="1800"/>
    <s v="Kwame Asante"/>
    <n v="36"/>
    <d v="2023-05-06T00:00:00"/>
    <s v="Cash"/>
    <n v="3600"/>
  </r>
  <r>
    <n v="37"/>
    <s v="Sandton City"/>
    <x v="0"/>
    <s v="Office Chair"/>
    <x v="3"/>
    <n v="1"/>
    <n v="3500"/>
    <s v="Vanessa Naidoo"/>
    <n v="28"/>
    <d v="2023-05-10T00:00:00"/>
    <s v="Debit Card"/>
    <n v="3500"/>
  </r>
  <r>
    <n v="38"/>
    <s v="V&amp;A Waterfront"/>
    <x v="1"/>
    <s v="Running Shoes"/>
    <x v="1"/>
    <n v="3"/>
    <n v="1200"/>
    <s v="Thulani Cele"/>
    <n v="45"/>
    <d v="2023-05-13T00:00:00"/>
    <s v="Credit Card"/>
    <n v="3600"/>
  </r>
  <r>
    <n v="39"/>
    <s v="Savannah Mall"/>
    <x v="3"/>
    <s v="Coffee Maker"/>
    <x v="2"/>
    <n v="1"/>
    <n v="2500"/>
    <s v="Marelize Joubert"/>
    <n v="32"/>
    <d v="2023-05-17T00:00:00"/>
    <s v="Cash"/>
    <n v="2500"/>
  </r>
  <r>
    <n v="40"/>
    <s v="Sandton City"/>
    <x v="0"/>
    <s v="Laptop"/>
    <x v="0"/>
    <n v="1"/>
    <n v="15000"/>
    <s v="Sifiso Dube"/>
    <n v="39"/>
    <d v="2023-05-20T00:00:00"/>
    <s v="Credit Card"/>
    <n v="15000"/>
  </r>
  <r>
    <n v="41"/>
    <s v="Gateway"/>
    <x v="2"/>
    <s v="Desk"/>
    <x v="3"/>
    <n v="2"/>
    <n v="4200"/>
    <s v="Roxanne Adams"/>
    <n v="43"/>
    <d v="2023-05-24T00:00:00"/>
    <s v="Debit Card"/>
    <n v="8400"/>
  </r>
  <r>
    <n v="42"/>
    <s v="Cavendish"/>
    <x v="1"/>
    <s v="T-Shirt"/>
    <x v="1"/>
    <n v="4"/>
    <n v="350"/>
    <s v="Nkosinathi Mthembu"/>
    <n v="26"/>
    <d v="2023-05-27T00:00:00"/>
    <s v="Cash"/>
    <n v="1400"/>
  </r>
  <r>
    <n v="43"/>
    <s v="Sandton City"/>
    <x v="0"/>
    <s v="Microwave"/>
    <x v="2"/>
    <n v="1"/>
    <n v="1800"/>
    <s v="Liezel van Zyl"/>
    <n v="34"/>
    <d v="2023-05-31T00:00:00"/>
    <s v="Debit Card"/>
    <n v="1800"/>
  </r>
  <r>
    <n v="44"/>
    <s v="Savannah Mall"/>
    <x v="3"/>
    <s v="Laptop"/>
    <x v="0"/>
    <n v="2"/>
    <n v="15000"/>
    <s v="Themba Mokoena"/>
    <n v="48"/>
    <d v="2023-06-03T00:00:00"/>
    <s v="Credit Card"/>
    <n v="30000"/>
  </r>
  <r>
    <n v="45"/>
    <s v="V&amp;A Waterfront"/>
    <x v="1"/>
    <s v="Office Chair"/>
    <x v="3"/>
    <n v="1"/>
    <n v="3500"/>
    <s v="Candice Bosman"/>
    <n v="31"/>
    <d v="2023-06-07T00:00:00"/>
    <s v="Cash"/>
    <n v="3500"/>
  </r>
  <r>
    <n v="46"/>
    <s v="Gateway"/>
    <x v="2"/>
    <s v="Running Shoes"/>
    <x v="1"/>
    <n v="1"/>
    <n v="1200"/>
    <s v="Siphamandla Gumede"/>
    <n v="27"/>
    <d v="2023-06-10T00:00:00"/>
    <s v="Debit Card"/>
    <n v="1200"/>
  </r>
  <r>
    <n v="47"/>
    <s v="Sandton City"/>
    <x v="0"/>
    <s v="Coffee Maker"/>
    <x v="2"/>
    <n v="2"/>
    <n v="2500"/>
    <s v="Wilma Cronje"/>
    <n v="36"/>
    <d v="2023-06-14T00:00:00"/>
    <s v="Credit Card"/>
    <n v="5000"/>
  </r>
  <r>
    <n v="48"/>
    <s v="Cavendish"/>
    <x v="1"/>
    <s v="Desk"/>
    <x v="3"/>
    <n v="1"/>
    <n v="4200"/>
    <s v="Siyanda Dlamini"/>
    <n v="42"/>
    <d v="2023-06-17T00:00:00"/>
    <s v="Cash"/>
    <n v="4200"/>
  </r>
  <r>
    <n v="49"/>
    <s v="Gateway"/>
    <x v="2"/>
    <s v="Laptop"/>
    <x v="0"/>
    <n v="1"/>
    <n v="15000"/>
    <s v="Taryn Fisher"/>
    <n v="29"/>
    <d v="2023-06-21T00:00:00"/>
    <s v="Credit Card"/>
    <n v="15000"/>
  </r>
  <r>
    <n v="50"/>
    <s v="Sandton City"/>
    <x v="0"/>
    <s v="T-Shirt"/>
    <x v="1"/>
    <n v="6"/>
    <n v="350"/>
    <s v="Nokuthula Zondo"/>
    <n v="33"/>
    <d v="2023-06-24T00:00:00"/>
    <s v="Debit Card"/>
    <n v="2100"/>
  </r>
  <r>
    <n v="51"/>
    <s v="Savannah Mall"/>
    <x v="3"/>
    <s v="Microwave"/>
    <x v="2"/>
    <n v="1"/>
    <n v="1800"/>
    <s v="Lebo Moloi"/>
    <n v="25"/>
    <d v="2023-06-28T00:00:00"/>
    <s v="Cash"/>
    <n v="1800"/>
  </r>
  <r>
    <n v="52"/>
    <s v="V&amp;A Waterfront"/>
    <x v="1"/>
    <s v="Laptop"/>
    <x v="0"/>
    <n v="2"/>
    <n v="15000"/>
    <s v="Rethabile Sithole"/>
    <n v="47"/>
    <d v="2023-07-01T00:00:00"/>
    <s v="Credit Card"/>
    <n v="30000"/>
  </r>
  <r>
    <n v="53"/>
    <s v="Gateway"/>
    <x v="2"/>
    <s v="Office Chair"/>
    <x v="3"/>
    <n v="1"/>
    <n v="3500"/>
    <s v="Marco van der Walt"/>
    <n v="38"/>
    <d v="2023-07-05T00:00:00"/>
    <s v="Debit Card"/>
    <n v="3500"/>
  </r>
  <r>
    <n v="54"/>
    <s v="Sandton City"/>
    <x v="0"/>
    <s v="Running Shoes"/>
    <x v="1"/>
    <n v="2"/>
    <n v="1200"/>
    <s v="Naledi Dlamini"/>
    <n v="31"/>
    <d v="2023-07-08T00:00:00"/>
    <s v="Cash"/>
    <n v="2400"/>
  </r>
  <r>
    <n v="55"/>
    <s v="Cavendish"/>
    <x v="1"/>
    <s v="Coffee Maker"/>
    <x v="2"/>
    <n v="2"/>
    <n v="2500"/>
    <s v="Ashwin Pillay"/>
    <n v="44"/>
    <d v="2023-07-12T00:00:00"/>
    <s v="Credit Card"/>
    <n v="5000"/>
  </r>
  <r>
    <n v="56"/>
    <s v="Savannah Mall"/>
    <x v="3"/>
    <s v="Desk"/>
    <x v="3"/>
    <n v="1"/>
    <n v="4200"/>
    <s v="Thembi Khumalo"/>
    <n v="28"/>
    <d v="2023-07-15T00:00:00"/>
    <s v="Debit Card"/>
    <n v="4200"/>
  </r>
  <r>
    <n v="57"/>
    <s v="Sandton City"/>
    <x v="0"/>
    <s v="Laptop"/>
    <x v="0"/>
    <n v="1"/>
    <n v="15000"/>
    <s v="Gareth Muller"/>
    <n v="35"/>
    <d v="2023-07-19T00:00:00"/>
    <s v="Credit Card"/>
    <n v="15000"/>
  </r>
  <r>
    <n v="58"/>
    <s v="Gateway"/>
    <x v="2"/>
    <s v="T-Shirt"/>
    <x v="1"/>
    <n v="3"/>
    <n v="350"/>
    <s v="Zandi Mokoena"/>
    <n v="26"/>
    <d v="2023-07-22T00:00:00"/>
    <s v="Cash"/>
    <n v="1050"/>
  </r>
  <r>
    <n v="59"/>
    <s v="V&amp;A Waterfront"/>
    <x v="1"/>
    <s v="Microwave"/>
    <x v="2"/>
    <n v="1"/>
    <n v="1800"/>
    <s v="Charmaine Fourie"/>
    <n v="39"/>
    <d v="2023-07-26T00:00:00"/>
    <s v="Debit Card"/>
    <n v="1800"/>
  </r>
  <r>
    <n v="60"/>
    <s v="Sandton City"/>
    <x v="0"/>
    <s v="Office Chair"/>
    <x v="3"/>
    <n v="2"/>
    <n v="3500"/>
    <s v="Tshepo Radebe"/>
    <n v="43"/>
    <d v="2023-07-29T00:00:00"/>
    <s v="Credit Card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A95F9-9102-49F2-B820-E8244C7DF6FC}" name="PivotTable1" cacheId="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2" firstDataCol="1"/>
  <pivotFields count="12"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6C83-D1EE-4C30-AC98-EEED1AAE9D30}">
  <dimension ref="A3:F9"/>
  <sheetViews>
    <sheetView workbookViewId="0"/>
  </sheetViews>
  <sheetFormatPr defaultRowHeight="15"/>
  <cols>
    <col min="1" max="1" width="15" bestFit="1" customWidth="1"/>
    <col min="2" max="2" width="11.7109375" bestFit="1" customWidth="1"/>
    <col min="3" max="3" width="8.42578125" bestFit="1" customWidth="1"/>
    <col min="4" max="4" width="10.85546875" bestFit="1" customWidth="1"/>
    <col min="5" max="5" width="9" bestFit="1" customWidth="1"/>
    <col min="6" max="6" width="11.140625" bestFit="1" customWidth="1"/>
  </cols>
  <sheetData>
    <row r="3" spans="1:6">
      <c r="A3" s="4" t="s">
        <v>0</v>
      </c>
      <c r="B3" s="4" t="s">
        <v>1</v>
      </c>
    </row>
    <row r="4" spans="1:6">
      <c r="A4" s="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3">
        <v>17200</v>
      </c>
      <c r="C5" s="3">
        <v>10900</v>
      </c>
      <c r="D5" s="3">
        <v>105000</v>
      </c>
      <c r="E5" s="3">
        <v>21700</v>
      </c>
      <c r="F5" s="3">
        <v>154800</v>
      </c>
    </row>
    <row r="6" spans="1:6">
      <c r="A6" t="s">
        <v>9</v>
      </c>
      <c r="B6" s="3">
        <v>8600</v>
      </c>
      <c r="C6" s="3">
        <v>6050</v>
      </c>
      <c r="D6" s="3">
        <v>30000</v>
      </c>
      <c r="E6" s="3">
        <v>23100</v>
      </c>
      <c r="F6" s="3">
        <v>67750</v>
      </c>
    </row>
    <row r="7" spans="1:6">
      <c r="A7" t="s">
        <v>10</v>
      </c>
      <c r="B7" s="3">
        <v>6100</v>
      </c>
      <c r="C7" s="3">
        <v>3450</v>
      </c>
      <c r="D7" s="3">
        <v>45000</v>
      </c>
      <c r="E7" s="3">
        <v>11900</v>
      </c>
      <c r="F7" s="3">
        <v>66450</v>
      </c>
    </row>
    <row r="8" spans="1:6">
      <c r="A8" t="s">
        <v>11</v>
      </c>
      <c r="B8" s="3">
        <v>16100</v>
      </c>
      <c r="C8" s="3">
        <v>6200</v>
      </c>
      <c r="D8" s="3">
        <v>105000</v>
      </c>
      <c r="E8" s="3">
        <v>15400</v>
      </c>
      <c r="F8" s="3">
        <v>142700</v>
      </c>
    </row>
    <row r="9" spans="1:6">
      <c r="A9" t="s">
        <v>7</v>
      </c>
      <c r="B9" s="3">
        <v>48000</v>
      </c>
      <c r="C9" s="3">
        <v>26600</v>
      </c>
      <c r="D9" s="3">
        <v>285000</v>
      </c>
      <c r="E9" s="3">
        <v>72100</v>
      </c>
      <c r="F9" s="3">
        <v>431700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selection sqref="A1:L61"/>
    </sheetView>
  </sheetViews>
  <sheetFormatPr defaultRowHeight="15"/>
  <cols>
    <col min="2" max="2" width="14" bestFit="1" customWidth="1"/>
    <col min="3" max="3" width="13" bestFit="1" customWidth="1"/>
    <col min="4" max="4" width="13.5703125" bestFit="1" customWidth="1"/>
    <col min="5" max="5" width="10.42578125" bestFit="1" customWidth="1"/>
    <col min="7" max="7" width="9.28515625" bestFit="1" customWidth="1"/>
    <col min="8" max="8" width="19.85546875" bestFit="1" customWidth="1"/>
    <col min="9" max="9" width="13" bestFit="1" customWidth="1"/>
    <col min="10" max="10" width="9.85546875" bestFit="1" customWidth="1"/>
    <col min="11" max="11" width="15.85546875" bestFit="1" customWidth="1"/>
    <col min="13" max="13" width="13" bestFit="1" customWidth="1"/>
    <col min="14" max="14" width="14.42578125" bestFit="1" customWidth="1"/>
    <col min="15" max="15" width="10.42578125" bestFit="1" customWidth="1"/>
    <col min="16" max="16" width="14.42578125" bestFit="1" customWidth="1"/>
    <col min="17" max="17" width="14" bestFit="1" customWidth="1"/>
    <col min="19" max="19" width="17.5703125" bestFit="1" customWidth="1"/>
    <col min="20" max="20" width="17.85546875" bestFit="1" customWidth="1"/>
  </cols>
  <sheetData>
    <row r="1" spans="1:20" s="2" customFormat="1">
      <c r="A1" s="2" t="s">
        <v>12</v>
      </c>
      <c r="B1" s="2" t="s">
        <v>13</v>
      </c>
      <c r="C1" s="2" t="s">
        <v>2</v>
      </c>
      <c r="D1" s="2" t="s">
        <v>14</v>
      </c>
      <c r="E1" s="2" t="s">
        <v>1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23</v>
      </c>
      <c r="Q1" s="2" t="s">
        <v>13</v>
      </c>
      <c r="R1" s="2" t="s">
        <v>25</v>
      </c>
      <c r="S1" s="2" t="s">
        <v>26</v>
      </c>
      <c r="T1" s="2" t="s">
        <v>27</v>
      </c>
    </row>
    <row r="2" spans="1:20">
      <c r="A2">
        <v>1</v>
      </c>
      <c r="B2" t="s">
        <v>28</v>
      </c>
      <c r="C2" t="s">
        <v>8</v>
      </c>
      <c r="D2" t="s">
        <v>29</v>
      </c>
      <c r="E2" t="s">
        <v>5</v>
      </c>
      <c r="F2">
        <v>2</v>
      </c>
      <c r="G2">
        <v>15000</v>
      </c>
      <c r="H2" t="s">
        <v>30</v>
      </c>
      <c r="I2">
        <v>34</v>
      </c>
      <c r="J2" s="1">
        <v>44931</v>
      </c>
      <c r="K2" t="s">
        <v>31</v>
      </c>
      <c r="L2">
        <f>F2*G2</f>
        <v>30000</v>
      </c>
      <c r="M2" t="s">
        <v>8</v>
      </c>
      <c r="N2">
        <f>SUMIF(C2:C61,"Gauteng",L2:L61)</f>
        <v>154800</v>
      </c>
      <c r="O2" t="s">
        <v>5</v>
      </c>
      <c r="P2">
        <f>SUMIF(E2:E61,"Electronics",L2:L61)</f>
        <v>285000</v>
      </c>
      <c r="Q2" t="s">
        <v>28</v>
      </c>
      <c r="R2">
        <f>COUNTIF(B2:B61,"Sandton City")</f>
        <v>20</v>
      </c>
      <c r="S2">
        <f>VLOOKUP("Laptop",D1:L61,4,FALSE)</f>
        <v>15000</v>
      </c>
      <c r="T2" t="str" cm="1">
        <f t="array" ref="T2:T61">IF(I2:I61&gt;35,"Senior","Junior")</f>
        <v>Junior</v>
      </c>
    </row>
    <row r="3" spans="1:20">
      <c r="A3">
        <v>2</v>
      </c>
      <c r="B3" t="s">
        <v>32</v>
      </c>
      <c r="C3" t="s">
        <v>11</v>
      </c>
      <c r="D3" t="s">
        <v>33</v>
      </c>
      <c r="E3" t="s">
        <v>4</v>
      </c>
      <c r="F3">
        <v>1</v>
      </c>
      <c r="G3">
        <v>1200</v>
      </c>
      <c r="H3" t="s">
        <v>34</v>
      </c>
      <c r="I3">
        <v>28</v>
      </c>
      <c r="J3" s="1">
        <v>44934</v>
      </c>
      <c r="K3" t="s">
        <v>35</v>
      </c>
      <c r="L3">
        <f t="shared" ref="L3:L61" si="0">F3*G3</f>
        <v>1200</v>
      </c>
      <c r="M3" t="s">
        <v>11</v>
      </c>
      <c r="N3">
        <f>SUMIF(C2:C61,"Western Cape",L2:L61)</f>
        <v>142700</v>
      </c>
      <c r="O3" t="s">
        <v>4</v>
      </c>
      <c r="P3">
        <f>SUMIF(E2:E61,"Clothing",L2:L61)</f>
        <v>26600</v>
      </c>
      <c r="Q3" t="s">
        <v>32</v>
      </c>
      <c r="R3">
        <f>COUNTIF(B2:B61,"V&amp;A Waterfront")</f>
        <v>9</v>
      </c>
      <c r="T3" t="str">
        <v>Junior</v>
      </c>
    </row>
    <row r="4" spans="1:20">
      <c r="A4">
        <v>3</v>
      </c>
      <c r="B4" t="s">
        <v>36</v>
      </c>
      <c r="C4" t="s">
        <v>9</v>
      </c>
      <c r="D4" t="s">
        <v>37</v>
      </c>
      <c r="E4" t="s">
        <v>3</v>
      </c>
      <c r="F4">
        <v>1</v>
      </c>
      <c r="G4">
        <v>2500</v>
      </c>
      <c r="H4" t="s">
        <v>38</v>
      </c>
      <c r="I4">
        <v>45</v>
      </c>
      <c r="J4" s="1">
        <v>44938</v>
      </c>
      <c r="K4" t="s">
        <v>39</v>
      </c>
      <c r="L4">
        <f t="shared" si="0"/>
        <v>2500</v>
      </c>
      <c r="M4" t="s">
        <v>9</v>
      </c>
      <c r="N4">
        <f>SUMIF(C2:C61,"KZN",L2:L61)</f>
        <v>67750</v>
      </c>
      <c r="O4" t="s">
        <v>3</v>
      </c>
      <c r="P4">
        <f>SUMIF(E2:E61,"Appliances",L2:L61)</f>
        <v>48000</v>
      </c>
      <c r="Q4" t="s">
        <v>36</v>
      </c>
      <c r="R4">
        <f>COUNTIF(B2:B61,"Gateway")</f>
        <v>13</v>
      </c>
      <c r="T4" t="str">
        <v>Senior</v>
      </c>
    </row>
    <row r="5" spans="1:20">
      <c r="A5">
        <v>4</v>
      </c>
      <c r="B5" t="s">
        <v>28</v>
      </c>
      <c r="C5" t="s">
        <v>8</v>
      </c>
      <c r="D5" t="s">
        <v>40</v>
      </c>
      <c r="E5" t="s">
        <v>6</v>
      </c>
      <c r="F5">
        <v>2</v>
      </c>
      <c r="G5">
        <v>3500</v>
      </c>
      <c r="H5" t="s">
        <v>41</v>
      </c>
      <c r="I5">
        <v>31</v>
      </c>
      <c r="J5" s="1">
        <v>44941</v>
      </c>
      <c r="K5" t="s">
        <v>31</v>
      </c>
      <c r="L5">
        <f t="shared" si="0"/>
        <v>7000</v>
      </c>
      <c r="M5" t="s">
        <v>10</v>
      </c>
      <c r="N5">
        <f>SUMIF(C2:C61,"Limpopo",L2:L61)</f>
        <v>66450</v>
      </c>
      <c r="O5" t="s">
        <v>6</v>
      </c>
      <c r="P5">
        <f>SUMIF(E2:E61,"Furniture",L2:L61)</f>
        <v>72100</v>
      </c>
      <c r="Q5" t="s">
        <v>42</v>
      </c>
      <c r="R5">
        <f>COUNTIF(B2:B61,"Cavendish")</f>
        <v>8</v>
      </c>
      <c r="T5" t="str">
        <v>Junior</v>
      </c>
    </row>
    <row r="6" spans="1:20">
      <c r="A6">
        <v>5</v>
      </c>
      <c r="B6" t="s">
        <v>42</v>
      </c>
      <c r="C6" t="s">
        <v>11</v>
      </c>
      <c r="D6" t="s">
        <v>29</v>
      </c>
      <c r="E6" t="s">
        <v>5</v>
      </c>
      <c r="F6">
        <v>1</v>
      </c>
      <c r="G6">
        <v>15000</v>
      </c>
      <c r="H6" t="s">
        <v>43</v>
      </c>
      <c r="I6">
        <v>27</v>
      </c>
      <c r="J6" s="1">
        <v>44945</v>
      </c>
      <c r="K6" t="s">
        <v>31</v>
      </c>
      <c r="L6">
        <f t="shared" si="0"/>
        <v>15000</v>
      </c>
      <c r="Q6" t="s">
        <v>44</v>
      </c>
      <c r="R6">
        <f>COUNTIF(B2:B61,"Savannah Mall")</f>
        <v>10</v>
      </c>
      <c r="T6" t="str">
        <v>Junior</v>
      </c>
    </row>
    <row r="7" spans="1:20">
      <c r="A7">
        <v>6</v>
      </c>
      <c r="B7" t="s">
        <v>44</v>
      </c>
      <c r="C7" t="s">
        <v>10</v>
      </c>
      <c r="D7" t="s">
        <v>45</v>
      </c>
      <c r="E7" t="s">
        <v>3</v>
      </c>
      <c r="F7">
        <v>1</v>
      </c>
      <c r="G7">
        <v>1800</v>
      </c>
      <c r="H7" t="s">
        <v>46</v>
      </c>
      <c r="I7">
        <v>52</v>
      </c>
      <c r="J7" s="1">
        <v>44948</v>
      </c>
      <c r="K7" t="s">
        <v>35</v>
      </c>
      <c r="L7">
        <f t="shared" si="0"/>
        <v>1800</v>
      </c>
      <c r="T7" t="str">
        <v>Senior</v>
      </c>
    </row>
    <row r="8" spans="1:20">
      <c r="A8">
        <v>7</v>
      </c>
      <c r="B8" t="s">
        <v>28</v>
      </c>
      <c r="C8" t="s">
        <v>8</v>
      </c>
      <c r="D8" t="s">
        <v>47</v>
      </c>
      <c r="E8" t="s">
        <v>4</v>
      </c>
      <c r="F8">
        <v>3</v>
      </c>
      <c r="G8">
        <v>350</v>
      </c>
      <c r="H8" t="s">
        <v>48</v>
      </c>
      <c r="I8">
        <v>23</v>
      </c>
      <c r="J8" s="1">
        <v>44952</v>
      </c>
      <c r="K8" t="s">
        <v>39</v>
      </c>
      <c r="L8">
        <f t="shared" si="0"/>
        <v>1050</v>
      </c>
      <c r="T8" t="str">
        <v>Junior</v>
      </c>
    </row>
    <row r="9" spans="1:20">
      <c r="A9">
        <v>8</v>
      </c>
      <c r="B9" t="s">
        <v>36</v>
      </c>
      <c r="C9" t="s">
        <v>9</v>
      </c>
      <c r="D9" t="s">
        <v>49</v>
      </c>
      <c r="E9" t="s">
        <v>6</v>
      </c>
      <c r="F9">
        <v>1</v>
      </c>
      <c r="G9">
        <v>4200</v>
      </c>
      <c r="H9" t="s">
        <v>50</v>
      </c>
      <c r="I9">
        <v>38</v>
      </c>
      <c r="J9" s="1">
        <v>44955</v>
      </c>
      <c r="K9" t="s">
        <v>31</v>
      </c>
      <c r="L9">
        <f t="shared" si="0"/>
        <v>4200</v>
      </c>
      <c r="T9" t="str">
        <v>Senior</v>
      </c>
    </row>
    <row r="10" spans="1:20">
      <c r="A10">
        <v>9</v>
      </c>
      <c r="B10" t="s">
        <v>28</v>
      </c>
      <c r="C10" t="s">
        <v>8</v>
      </c>
      <c r="D10" t="s">
        <v>29</v>
      </c>
      <c r="E10" t="s">
        <v>5</v>
      </c>
      <c r="F10">
        <v>1</v>
      </c>
      <c r="G10">
        <v>15000</v>
      </c>
      <c r="H10" t="s">
        <v>51</v>
      </c>
      <c r="I10">
        <v>41</v>
      </c>
      <c r="J10" s="1">
        <v>44959</v>
      </c>
      <c r="K10" t="s">
        <v>31</v>
      </c>
      <c r="L10">
        <f t="shared" si="0"/>
        <v>15000</v>
      </c>
      <c r="T10" t="str">
        <v>Senior</v>
      </c>
    </row>
    <row r="11" spans="1:20">
      <c r="A11">
        <v>10</v>
      </c>
      <c r="B11" t="s">
        <v>32</v>
      </c>
      <c r="C11" t="s">
        <v>11</v>
      </c>
      <c r="D11" t="s">
        <v>37</v>
      </c>
      <c r="E11" t="s">
        <v>3</v>
      </c>
      <c r="F11">
        <v>2</v>
      </c>
      <c r="G11">
        <v>2500</v>
      </c>
      <c r="H11" t="s">
        <v>52</v>
      </c>
      <c r="I11">
        <v>29</v>
      </c>
      <c r="J11" s="1">
        <v>44962</v>
      </c>
      <c r="K11" t="s">
        <v>35</v>
      </c>
      <c r="L11">
        <f t="shared" si="0"/>
        <v>5000</v>
      </c>
      <c r="T11" t="str">
        <v>Junior</v>
      </c>
    </row>
    <row r="12" spans="1:20">
      <c r="A12">
        <v>11</v>
      </c>
      <c r="B12" t="s">
        <v>44</v>
      </c>
      <c r="C12" t="s">
        <v>10</v>
      </c>
      <c r="D12" t="s">
        <v>33</v>
      </c>
      <c r="E12" t="s">
        <v>4</v>
      </c>
      <c r="F12">
        <v>2</v>
      </c>
      <c r="G12">
        <v>1200</v>
      </c>
      <c r="H12" t="s">
        <v>53</v>
      </c>
      <c r="I12">
        <v>35</v>
      </c>
      <c r="J12" s="1">
        <v>44966</v>
      </c>
      <c r="K12" t="s">
        <v>39</v>
      </c>
      <c r="L12">
        <f t="shared" si="0"/>
        <v>2400</v>
      </c>
      <c r="T12" t="str">
        <v>Junior</v>
      </c>
    </row>
    <row r="13" spans="1:20">
      <c r="A13">
        <v>12</v>
      </c>
      <c r="B13" t="s">
        <v>36</v>
      </c>
      <c r="C13" t="s">
        <v>9</v>
      </c>
      <c r="D13" t="s">
        <v>29</v>
      </c>
      <c r="E13" t="s">
        <v>5</v>
      </c>
      <c r="F13">
        <v>1</v>
      </c>
      <c r="G13">
        <v>15000</v>
      </c>
      <c r="H13" t="s">
        <v>54</v>
      </c>
      <c r="I13">
        <v>44</v>
      </c>
      <c r="J13" s="1">
        <v>44969</v>
      </c>
      <c r="K13" t="s">
        <v>31</v>
      </c>
      <c r="L13">
        <f t="shared" si="0"/>
        <v>15000</v>
      </c>
      <c r="T13" t="str">
        <v>Senior</v>
      </c>
    </row>
    <row r="14" spans="1:20">
      <c r="A14">
        <v>13</v>
      </c>
      <c r="B14" t="s">
        <v>28</v>
      </c>
      <c r="C14" t="s">
        <v>8</v>
      </c>
      <c r="D14" t="s">
        <v>45</v>
      </c>
      <c r="E14" t="s">
        <v>3</v>
      </c>
      <c r="F14">
        <v>1</v>
      </c>
      <c r="G14">
        <v>1800</v>
      </c>
      <c r="H14" t="s">
        <v>55</v>
      </c>
      <c r="I14">
        <v>33</v>
      </c>
      <c r="J14" s="1">
        <v>44973</v>
      </c>
      <c r="K14" t="s">
        <v>35</v>
      </c>
      <c r="L14">
        <f t="shared" si="0"/>
        <v>1800</v>
      </c>
      <c r="T14" t="str">
        <v>Junior</v>
      </c>
    </row>
    <row r="15" spans="1:20">
      <c r="A15">
        <v>14</v>
      </c>
      <c r="B15" t="s">
        <v>42</v>
      </c>
      <c r="C15" t="s">
        <v>11</v>
      </c>
      <c r="D15" t="s">
        <v>40</v>
      </c>
      <c r="E15" t="s">
        <v>6</v>
      </c>
      <c r="F15">
        <v>1</v>
      </c>
      <c r="G15">
        <v>3500</v>
      </c>
      <c r="H15" t="s">
        <v>56</v>
      </c>
      <c r="I15">
        <v>26</v>
      </c>
      <c r="J15" s="1">
        <v>44976</v>
      </c>
      <c r="K15" t="s">
        <v>39</v>
      </c>
      <c r="L15">
        <f t="shared" si="0"/>
        <v>3500</v>
      </c>
      <c r="T15" t="str">
        <v>Junior</v>
      </c>
    </row>
    <row r="16" spans="1:20">
      <c r="A16">
        <v>15</v>
      </c>
      <c r="B16" t="s">
        <v>28</v>
      </c>
      <c r="C16" t="s">
        <v>8</v>
      </c>
      <c r="D16" t="s">
        <v>33</v>
      </c>
      <c r="E16" t="s">
        <v>4</v>
      </c>
      <c r="F16">
        <v>2</v>
      </c>
      <c r="G16">
        <v>1200</v>
      </c>
      <c r="H16" t="s">
        <v>57</v>
      </c>
      <c r="I16">
        <v>30</v>
      </c>
      <c r="J16" s="1">
        <v>44980</v>
      </c>
      <c r="K16" t="s">
        <v>31</v>
      </c>
      <c r="L16">
        <f t="shared" si="0"/>
        <v>2400</v>
      </c>
      <c r="T16" t="str">
        <v>Junior</v>
      </c>
    </row>
    <row r="17" spans="1:20">
      <c r="A17">
        <v>16</v>
      </c>
      <c r="B17" t="s">
        <v>44</v>
      </c>
      <c r="C17" t="s">
        <v>10</v>
      </c>
      <c r="D17" t="s">
        <v>49</v>
      </c>
      <c r="E17" t="s">
        <v>6</v>
      </c>
      <c r="F17">
        <v>1</v>
      </c>
      <c r="G17">
        <v>4200</v>
      </c>
      <c r="H17" t="s">
        <v>58</v>
      </c>
      <c r="I17">
        <v>48</v>
      </c>
      <c r="J17" s="1">
        <v>44983</v>
      </c>
      <c r="K17" t="s">
        <v>35</v>
      </c>
      <c r="L17">
        <f t="shared" si="0"/>
        <v>4200</v>
      </c>
      <c r="T17" t="str">
        <v>Senior</v>
      </c>
    </row>
    <row r="18" spans="1:20">
      <c r="A18">
        <v>17</v>
      </c>
      <c r="B18" t="s">
        <v>32</v>
      </c>
      <c r="C18" t="s">
        <v>11</v>
      </c>
      <c r="D18" t="s">
        <v>29</v>
      </c>
      <c r="E18" t="s">
        <v>5</v>
      </c>
      <c r="F18">
        <v>1</v>
      </c>
      <c r="G18">
        <v>15000</v>
      </c>
      <c r="H18" t="s">
        <v>59</v>
      </c>
      <c r="I18">
        <v>36</v>
      </c>
      <c r="J18" s="1">
        <v>44987</v>
      </c>
      <c r="K18" t="s">
        <v>31</v>
      </c>
      <c r="L18">
        <f t="shared" si="0"/>
        <v>15000</v>
      </c>
      <c r="T18" t="str">
        <v>Senior</v>
      </c>
    </row>
    <row r="19" spans="1:20">
      <c r="A19">
        <v>18</v>
      </c>
      <c r="B19" t="s">
        <v>28</v>
      </c>
      <c r="C19" t="s">
        <v>8</v>
      </c>
      <c r="D19" t="s">
        <v>37</v>
      </c>
      <c r="E19" t="s">
        <v>3</v>
      </c>
      <c r="F19">
        <v>2</v>
      </c>
      <c r="G19">
        <v>2500</v>
      </c>
      <c r="H19" t="s">
        <v>60</v>
      </c>
      <c r="I19">
        <v>42</v>
      </c>
      <c r="J19" s="1">
        <v>44990</v>
      </c>
      <c r="K19" t="s">
        <v>39</v>
      </c>
      <c r="L19">
        <f t="shared" si="0"/>
        <v>5000</v>
      </c>
      <c r="T19" t="str">
        <v>Senior</v>
      </c>
    </row>
    <row r="20" spans="1:20">
      <c r="A20">
        <v>19</v>
      </c>
      <c r="B20" t="s">
        <v>36</v>
      </c>
      <c r="C20" t="s">
        <v>9</v>
      </c>
      <c r="D20" t="s">
        <v>47</v>
      </c>
      <c r="E20" t="s">
        <v>4</v>
      </c>
      <c r="F20">
        <v>4</v>
      </c>
      <c r="G20">
        <v>350</v>
      </c>
      <c r="H20" t="s">
        <v>61</v>
      </c>
      <c r="I20">
        <v>25</v>
      </c>
      <c r="J20" s="1">
        <v>44994</v>
      </c>
      <c r="K20" t="s">
        <v>35</v>
      </c>
      <c r="L20">
        <f t="shared" si="0"/>
        <v>1400</v>
      </c>
      <c r="T20" t="str">
        <v>Junior</v>
      </c>
    </row>
    <row r="21" spans="1:20">
      <c r="A21">
        <v>20</v>
      </c>
      <c r="B21" t="s">
        <v>28</v>
      </c>
      <c r="C21" t="s">
        <v>8</v>
      </c>
      <c r="D21" t="s">
        <v>29</v>
      </c>
      <c r="E21" t="s">
        <v>5</v>
      </c>
      <c r="F21">
        <v>2</v>
      </c>
      <c r="G21">
        <v>15000</v>
      </c>
      <c r="H21" t="s">
        <v>62</v>
      </c>
      <c r="I21">
        <v>39</v>
      </c>
      <c r="J21" s="1">
        <v>44997</v>
      </c>
      <c r="K21" t="s">
        <v>31</v>
      </c>
      <c r="L21">
        <f t="shared" si="0"/>
        <v>30000</v>
      </c>
      <c r="T21" t="str">
        <v>Senior</v>
      </c>
    </row>
    <row r="22" spans="1:20">
      <c r="A22">
        <v>21</v>
      </c>
      <c r="B22" t="s">
        <v>42</v>
      </c>
      <c r="C22" t="s">
        <v>11</v>
      </c>
      <c r="D22" t="s">
        <v>45</v>
      </c>
      <c r="E22" t="s">
        <v>3</v>
      </c>
      <c r="F22">
        <v>1</v>
      </c>
      <c r="G22">
        <v>1800</v>
      </c>
      <c r="H22" t="s">
        <v>63</v>
      </c>
      <c r="I22">
        <v>31</v>
      </c>
      <c r="J22" s="1">
        <v>45001</v>
      </c>
      <c r="K22" t="s">
        <v>35</v>
      </c>
      <c r="L22">
        <f t="shared" si="0"/>
        <v>1800</v>
      </c>
      <c r="T22" t="str">
        <v>Junior</v>
      </c>
    </row>
    <row r="23" spans="1:20">
      <c r="A23">
        <v>22</v>
      </c>
      <c r="B23" t="s">
        <v>36</v>
      </c>
      <c r="C23" t="s">
        <v>9</v>
      </c>
      <c r="D23" t="s">
        <v>40</v>
      </c>
      <c r="E23" t="s">
        <v>6</v>
      </c>
      <c r="F23">
        <v>2</v>
      </c>
      <c r="G23">
        <v>3500</v>
      </c>
      <c r="H23" t="s">
        <v>64</v>
      </c>
      <c r="I23">
        <v>47</v>
      </c>
      <c r="J23" s="1">
        <v>45004</v>
      </c>
      <c r="K23" t="s">
        <v>39</v>
      </c>
      <c r="L23">
        <f t="shared" si="0"/>
        <v>7000</v>
      </c>
      <c r="T23" t="str">
        <v>Senior</v>
      </c>
    </row>
    <row r="24" spans="1:20">
      <c r="A24">
        <v>23</v>
      </c>
      <c r="B24" t="s">
        <v>44</v>
      </c>
      <c r="C24" t="s">
        <v>10</v>
      </c>
      <c r="D24" t="s">
        <v>29</v>
      </c>
      <c r="E24" t="s">
        <v>5</v>
      </c>
      <c r="F24">
        <v>1</v>
      </c>
      <c r="G24">
        <v>15000</v>
      </c>
      <c r="H24" t="s">
        <v>65</v>
      </c>
      <c r="I24">
        <v>28</v>
      </c>
      <c r="J24" s="1">
        <v>45008</v>
      </c>
      <c r="K24" t="s">
        <v>31</v>
      </c>
      <c r="L24">
        <f t="shared" si="0"/>
        <v>15000</v>
      </c>
      <c r="T24" t="str">
        <v>Junior</v>
      </c>
    </row>
    <row r="25" spans="1:20">
      <c r="A25">
        <v>24</v>
      </c>
      <c r="B25" t="s">
        <v>28</v>
      </c>
      <c r="C25" t="s">
        <v>8</v>
      </c>
      <c r="D25" t="s">
        <v>33</v>
      </c>
      <c r="E25" t="s">
        <v>4</v>
      </c>
      <c r="F25">
        <v>1</v>
      </c>
      <c r="G25">
        <v>1200</v>
      </c>
      <c r="H25" t="s">
        <v>66</v>
      </c>
      <c r="I25">
        <v>35</v>
      </c>
      <c r="J25" s="1">
        <v>45011</v>
      </c>
      <c r="K25" t="s">
        <v>35</v>
      </c>
      <c r="L25">
        <f t="shared" si="0"/>
        <v>1200</v>
      </c>
      <c r="T25" t="str">
        <v>Junior</v>
      </c>
    </row>
    <row r="26" spans="1:20">
      <c r="A26">
        <v>25</v>
      </c>
      <c r="B26" t="s">
        <v>32</v>
      </c>
      <c r="C26" t="s">
        <v>11</v>
      </c>
      <c r="D26" t="s">
        <v>49</v>
      </c>
      <c r="E26" t="s">
        <v>6</v>
      </c>
      <c r="F26">
        <v>1</v>
      </c>
      <c r="G26">
        <v>4200</v>
      </c>
      <c r="H26" t="s">
        <v>67</v>
      </c>
      <c r="I26">
        <v>43</v>
      </c>
      <c r="J26" s="1">
        <v>45014</v>
      </c>
      <c r="K26" t="s">
        <v>39</v>
      </c>
      <c r="L26">
        <f t="shared" si="0"/>
        <v>4200</v>
      </c>
      <c r="T26" t="str">
        <v>Senior</v>
      </c>
    </row>
    <row r="27" spans="1:20">
      <c r="A27">
        <v>26</v>
      </c>
      <c r="B27" t="s">
        <v>36</v>
      </c>
      <c r="C27" t="s">
        <v>9</v>
      </c>
      <c r="D27" t="s">
        <v>37</v>
      </c>
      <c r="E27" t="s">
        <v>3</v>
      </c>
      <c r="F27">
        <v>1</v>
      </c>
      <c r="G27">
        <v>2500</v>
      </c>
      <c r="H27" t="s">
        <v>68</v>
      </c>
      <c r="I27">
        <v>32</v>
      </c>
      <c r="J27" s="1">
        <v>45018</v>
      </c>
      <c r="K27" t="s">
        <v>31</v>
      </c>
      <c r="L27">
        <f t="shared" si="0"/>
        <v>2500</v>
      </c>
      <c r="T27" t="str">
        <v>Junior</v>
      </c>
    </row>
    <row r="28" spans="1:20">
      <c r="A28">
        <v>27</v>
      </c>
      <c r="B28" t="s">
        <v>28</v>
      </c>
      <c r="C28" t="s">
        <v>8</v>
      </c>
      <c r="D28" t="s">
        <v>47</v>
      </c>
      <c r="E28" t="s">
        <v>4</v>
      </c>
      <c r="F28">
        <v>5</v>
      </c>
      <c r="G28">
        <v>350</v>
      </c>
      <c r="H28" t="s">
        <v>69</v>
      </c>
      <c r="I28">
        <v>27</v>
      </c>
      <c r="J28" s="1">
        <v>45021</v>
      </c>
      <c r="K28" t="s">
        <v>35</v>
      </c>
      <c r="L28">
        <f t="shared" si="0"/>
        <v>1750</v>
      </c>
      <c r="T28" t="str">
        <v>Junior</v>
      </c>
    </row>
    <row r="29" spans="1:20">
      <c r="A29">
        <v>28</v>
      </c>
      <c r="B29" t="s">
        <v>42</v>
      </c>
      <c r="C29" t="s">
        <v>11</v>
      </c>
      <c r="D29" t="s">
        <v>29</v>
      </c>
      <c r="E29" t="s">
        <v>5</v>
      </c>
      <c r="F29">
        <v>2</v>
      </c>
      <c r="G29">
        <v>15000</v>
      </c>
      <c r="H29" t="s">
        <v>70</v>
      </c>
      <c r="I29">
        <v>38</v>
      </c>
      <c r="J29" s="1">
        <v>45025</v>
      </c>
      <c r="K29" t="s">
        <v>31</v>
      </c>
      <c r="L29">
        <f t="shared" si="0"/>
        <v>30000</v>
      </c>
      <c r="T29" t="str">
        <v>Senior</v>
      </c>
    </row>
    <row r="30" spans="1:20">
      <c r="A30">
        <v>29</v>
      </c>
      <c r="B30" t="s">
        <v>44</v>
      </c>
      <c r="C30" t="s">
        <v>10</v>
      </c>
      <c r="D30" t="s">
        <v>40</v>
      </c>
      <c r="E30" t="s">
        <v>6</v>
      </c>
      <c r="F30">
        <v>1</v>
      </c>
      <c r="G30">
        <v>3500</v>
      </c>
      <c r="H30" t="s">
        <v>71</v>
      </c>
      <c r="I30">
        <v>51</v>
      </c>
      <c r="J30" s="1">
        <v>45028</v>
      </c>
      <c r="K30" t="s">
        <v>39</v>
      </c>
      <c r="L30">
        <f t="shared" si="0"/>
        <v>3500</v>
      </c>
      <c r="T30" t="str">
        <v>Senior</v>
      </c>
    </row>
    <row r="31" spans="1:20">
      <c r="A31">
        <v>30</v>
      </c>
      <c r="B31" t="s">
        <v>28</v>
      </c>
      <c r="C31" t="s">
        <v>8</v>
      </c>
      <c r="D31" t="s">
        <v>45</v>
      </c>
      <c r="E31" t="s">
        <v>3</v>
      </c>
      <c r="F31">
        <v>2</v>
      </c>
      <c r="G31">
        <v>1800</v>
      </c>
      <c r="H31" t="s">
        <v>72</v>
      </c>
      <c r="I31">
        <v>29</v>
      </c>
      <c r="J31" s="1">
        <v>45032</v>
      </c>
      <c r="K31" t="s">
        <v>35</v>
      </c>
      <c r="L31">
        <f t="shared" si="0"/>
        <v>3600</v>
      </c>
      <c r="T31" t="str">
        <v>Junior</v>
      </c>
    </row>
    <row r="32" spans="1:20">
      <c r="A32">
        <v>31</v>
      </c>
      <c r="B32" t="s">
        <v>36</v>
      </c>
      <c r="C32" t="s">
        <v>9</v>
      </c>
      <c r="D32" t="s">
        <v>33</v>
      </c>
      <c r="E32" t="s">
        <v>4</v>
      </c>
      <c r="F32">
        <v>2</v>
      </c>
      <c r="G32">
        <v>1200</v>
      </c>
      <c r="H32" t="s">
        <v>73</v>
      </c>
      <c r="I32">
        <v>44</v>
      </c>
      <c r="J32" s="1">
        <v>45035</v>
      </c>
      <c r="K32" t="s">
        <v>39</v>
      </c>
      <c r="L32">
        <f t="shared" si="0"/>
        <v>2400</v>
      </c>
      <c r="T32" t="str">
        <v>Senior</v>
      </c>
    </row>
    <row r="33" spans="1:20">
      <c r="A33">
        <v>32</v>
      </c>
      <c r="B33" t="s">
        <v>32</v>
      </c>
      <c r="C33" t="s">
        <v>11</v>
      </c>
      <c r="D33" t="s">
        <v>37</v>
      </c>
      <c r="E33" t="s">
        <v>3</v>
      </c>
      <c r="F33">
        <v>1</v>
      </c>
      <c r="G33">
        <v>2500</v>
      </c>
      <c r="H33" t="s">
        <v>74</v>
      </c>
      <c r="I33">
        <v>33</v>
      </c>
      <c r="J33" s="1">
        <v>45039</v>
      </c>
      <c r="K33" t="s">
        <v>31</v>
      </c>
      <c r="L33">
        <f t="shared" si="0"/>
        <v>2500</v>
      </c>
      <c r="T33" t="str">
        <v>Junior</v>
      </c>
    </row>
    <row r="34" spans="1:20">
      <c r="A34">
        <v>33</v>
      </c>
      <c r="B34" t="s">
        <v>28</v>
      </c>
      <c r="C34" t="s">
        <v>8</v>
      </c>
      <c r="D34" t="s">
        <v>49</v>
      </c>
      <c r="E34" t="s">
        <v>6</v>
      </c>
      <c r="F34">
        <v>1</v>
      </c>
      <c r="G34">
        <v>4200</v>
      </c>
      <c r="H34" t="s">
        <v>75</v>
      </c>
      <c r="I34">
        <v>37</v>
      </c>
      <c r="J34" s="1">
        <v>45042</v>
      </c>
      <c r="K34" t="s">
        <v>35</v>
      </c>
      <c r="L34">
        <f t="shared" si="0"/>
        <v>4200</v>
      </c>
      <c r="T34" t="str">
        <v>Senior</v>
      </c>
    </row>
    <row r="35" spans="1:20">
      <c r="A35">
        <v>34</v>
      </c>
      <c r="B35" t="s">
        <v>44</v>
      </c>
      <c r="C35" t="s">
        <v>10</v>
      </c>
      <c r="D35" t="s">
        <v>47</v>
      </c>
      <c r="E35" t="s">
        <v>4</v>
      </c>
      <c r="F35">
        <v>3</v>
      </c>
      <c r="G35">
        <v>350</v>
      </c>
      <c r="H35" t="s">
        <v>76</v>
      </c>
      <c r="I35">
        <v>24</v>
      </c>
      <c r="J35" s="1">
        <v>45045</v>
      </c>
      <c r="K35" t="s">
        <v>39</v>
      </c>
      <c r="L35">
        <f t="shared" si="0"/>
        <v>1050</v>
      </c>
      <c r="T35" t="str">
        <v>Junior</v>
      </c>
    </row>
    <row r="36" spans="1:20">
      <c r="A36">
        <v>35</v>
      </c>
      <c r="B36" t="s">
        <v>42</v>
      </c>
      <c r="C36" t="s">
        <v>11</v>
      </c>
      <c r="D36" t="s">
        <v>29</v>
      </c>
      <c r="E36" t="s">
        <v>5</v>
      </c>
      <c r="F36">
        <v>1</v>
      </c>
      <c r="G36">
        <v>15000</v>
      </c>
      <c r="H36" t="s">
        <v>77</v>
      </c>
      <c r="I36">
        <v>41</v>
      </c>
      <c r="J36" s="1">
        <v>45049</v>
      </c>
      <c r="K36" t="s">
        <v>31</v>
      </c>
      <c r="L36">
        <f t="shared" si="0"/>
        <v>15000</v>
      </c>
      <c r="T36" t="str">
        <v>Senior</v>
      </c>
    </row>
    <row r="37" spans="1:20">
      <c r="A37">
        <v>36</v>
      </c>
      <c r="B37" t="s">
        <v>36</v>
      </c>
      <c r="C37" t="s">
        <v>9</v>
      </c>
      <c r="D37" t="s">
        <v>45</v>
      </c>
      <c r="E37" t="s">
        <v>3</v>
      </c>
      <c r="F37">
        <v>2</v>
      </c>
      <c r="G37">
        <v>1800</v>
      </c>
      <c r="H37" t="s">
        <v>78</v>
      </c>
      <c r="I37">
        <v>36</v>
      </c>
      <c r="J37" s="1">
        <v>45052</v>
      </c>
      <c r="K37" t="s">
        <v>35</v>
      </c>
      <c r="L37">
        <f t="shared" si="0"/>
        <v>3600</v>
      </c>
      <c r="T37" t="str">
        <v>Senior</v>
      </c>
    </row>
    <row r="38" spans="1:20">
      <c r="A38">
        <v>37</v>
      </c>
      <c r="B38" t="s">
        <v>28</v>
      </c>
      <c r="C38" t="s">
        <v>8</v>
      </c>
      <c r="D38" t="s">
        <v>40</v>
      </c>
      <c r="E38" t="s">
        <v>6</v>
      </c>
      <c r="F38">
        <v>1</v>
      </c>
      <c r="G38">
        <v>3500</v>
      </c>
      <c r="H38" t="s">
        <v>79</v>
      </c>
      <c r="I38">
        <v>28</v>
      </c>
      <c r="J38" s="1">
        <v>45056</v>
      </c>
      <c r="K38" t="s">
        <v>39</v>
      </c>
      <c r="L38">
        <f t="shared" si="0"/>
        <v>3500</v>
      </c>
      <c r="T38" t="str">
        <v>Junior</v>
      </c>
    </row>
    <row r="39" spans="1:20">
      <c r="A39">
        <v>38</v>
      </c>
      <c r="B39" t="s">
        <v>32</v>
      </c>
      <c r="C39" t="s">
        <v>11</v>
      </c>
      <c r="D39" t="s">
        <v>33</v>
      </c>
      <c r="E39" t="s">
        <v>4</v>
      </c>
      <c r="F39">
        <v>3</v>
      </c>
      <c r="G39">
        <v>1200</v>
      </c>
      <c r="H39" t="s">
        <v>80</v>
      </c>
      <c r="I39">
        <v>45</v>
      </c>
      <c r="J39" s="1">
        <v>45059</v>
      </c>
      <c r="K39" t="s">
        <v>31</v>
      </c>
      <c r="L39">
        <f t="shared" si="0"/>
        <v>3600</v>
      </c>
      <c r="T39" t="str">
        <v>Senior</v>
      </c>
    </row>
    <row r="40" spans="1:20">
      <c r="A40">
        <v>39</v>
      </c>
      <c r="B40" t="s">
        <v>44</v>
      </c>
      <c r="C40" t="s">
        <v>10</v>
      </c>
      <c r="D40" t="s">
        <v>37</v>
      </c>
      <c r="E40" t="s">
        <v>3</v>
      </c>
      <c r="F40">
        <v>1</v>
      </c>
      <c r="G40">
        <v>2500</v>
      </c>
      <c r="H40" t="s">
        <v>81</v>
      </c>
      <c r="I40">
        <v>32</v>
      </c>
      <c r="J40" s="1">
        <v>45063</v>
      </c>
      <c r="K40" t="s">
        <v>35</v>
      </c>
      <c r="L40">
        <f t="shared" si="0"/>
        <v>2500</v>
      </c>
      <c r="T40" t="str">
        <v>Junior</v>
      </c>
    </row>
    <row r="41" spans="1:20">
      <c r="A41">
        <v>40</v>
      </c>
      <c r="B41" t="s">
        <v>28</v>
      </c>
      <c r="C41" t="s">
        <v>8</v>
      </c>
      <c r="D41" t="s">
        <v>29</v>
      </c>
      <c r="E41" t="s">
        <v>5</v>
      </c>
      <c r="F41">
        <v>1</v>
      </c>
      <c r="G41">
        <v>15000</v>
      </c>
      <c r="H41" t="s">
        <v>82</v>
      </c>
      <c r="I41">
        <v>39</v>
      </c>
      <c r="J41" s="1">
        <v>45066</v>
      </c>
      <c r="K41" t="s">
        <v>31</v>
      </c>
      <c r="L41">
        <f t="shared" si="0"/>
        <v>15000</v>
      </c>
      <c r="T41" t="str">
        <v>Senior</v>
      </c>
    </row>
    <row r="42" spans="1:20">
      <c r="A42">
        <v>41</v>
      </c>
      <c r="B42" t="s">
        <v>36</v>
      </c>
      <c r="C42" t="s">
        <v>9</v>
      </c>
      <c r="D42" t="s">
        <v>49</v>
      </c>
      <c r="E42" t="s">
        <v>6</v>
      </c>
      <c r="F42">
        <v>2</v>
      </c>
      <c r="G42">
        <v>4200</v>
      </c>
      <c r="H42" t="s">
        <v>83</v>
      </c>
      <c r="I42">
        <v>43</v>
      </c>
      <c r="J42" s="1">
        <v>45070</v>
      </c>
      <c r="K42" t="s">
        <v>39</v>
      </c>
      <c r="L42">
        <f t="shared" si="0"/>
        <v>8400</v>
      </c>
      <c r="T42" t="str">
        <v>Senior</v>
      </c>
    </row>
    <row r="43" spans="1:20">
      <c r="A43">
        <v>42</v>
      </c>
      <c r="B43" t="s">
        <v>42</v>
      </c>
      <c r="C43" t="s">
        <v>11</v>
      </c>
      <c r="D43" t="s">
        <v>47</v>
      </c>
      <c r="E43" t="s">
        <v>4</v>
      </c>
      <c r="F43">
        <v>4</v>
      </c>
      <c r="G43">
        <v>350</v>
      </c>
      <c r="H43" t="s">
        <v>84</v>
      </c>
      <c r="I43">
        <v>26</v>
      </c>
      <c r="J43" s="1">
        <v>45073</v>
      </c>
      <c r="K43" t="s">
        <v>35</v>
      </c>
      <c r="L43">
        <f t="shared" si="0"/>
        <v>1400</v>
      </c>
      <c r="T43" t="str">
        <v>Junior</v>
      </c>
    </row>
    <row r="44" spans="1:20">
      <c r="A44">
        <v>43</v>
      </c>
      <c r="B44" t="s">
        <v>28</v>
      </c>
      <c r="C44" t="s">
        <v>8</v>
      </c>
      <c r="D44" t="s">
        <v>45</v>
      </c>
      <c r="E44" t="s">
        <v>3</v>
      </c>
      <c r="F44">
        <v>1</v>
      </c>
      <c r="G44">
        <v>1800</v>
      </c>
      <c r="H44" t="s">
        <v>85</v>
      </c>
      <c r="I44">
        <v>34</v>
      </c>
      <c r="J44" s="1">
        <v>45077</v>
      </c>
      <c r="K44" t="s">
        <v>39</v>
      </c>
      <c r="L44">
        <f t="shared" si="0"/>
        <v>1800</v>
      </c>
      <c r="T44" t="str">
        <v>Junior</v>
      </c>
    </row>
    <row r="45" spans="1:20">
      <c r="A45">
        <v>44</v>
      </c>
      <c r="B45" t="s">
        <v>44</v>
      </c>
      <c r="C45" t="s">
        <v>10</v>
      </c>
      <c r="D45" t="s">
        <v>29</v>
      </c>
      <c r="E45" t="s">
        <v>5</v>
      </c>
      <c r="F45">
        <v>2</v>
      </c>
      <c r="G45">
        <v>15000</v>
      </c>
      <c r="H45" t="s">
        <v>86</v>
      </c>
      <c r="I45">
        <v>48</v>
      </c>
      <c r="J45" s="1">
        <v>45080</v>
      </c>
      <c r="K45" t="s">
        <v>31</v>
      </c>
      <c r="L45">
        <f t="shared" si="0"/>
        <v>30000</v>
      </c>
      <c r="T45" t="str">
        <v>Senior</v>
      </c>
    </row>
    <row r="46" spans="1:20">
      <c r="A46">
        <v>45</v>
      </c>
      <c r="B46" t="s">
        <v>32</v>
      </c>
      <c r="C46" t="s">
        <v>11</v>
      </c>
      <c r="D46" t="s">
        <v>40</v>
      </c>
      <c r="E46" t="s">
        <v>6</v>
      </c>
      <c r="F46">
        <v>1</v>
      </c>
      <c r="G46">
        <v>3500</v>
      </c>
      <c r="H46" t="s">
        <v>87</v>
      </c>
      <c r="I46">
        <v>31</v>
      </c>
      <c r="J46" s="1">
        <v>45084</v>
      </c>
      <c r="K46" t="s">
        <v>35</v>
      </c>
      <c r="L46">
        <f t="shared" si="0"/>
        <v>3500</v>
      </c>
      <c r="T46" t="str">
        <v>Junior</v>
      </c>
    </row>
    <row r="47" spans="1:20">
      <c r="A47">
        <v>46</v>
      </c>
      <c r="B47" t="s">
        <v>36</v>
      </c>
      <c r="C47" t="s">
        <v>9</v>
      </c>
      <c r="D47" t="s">
        <v>33</v>
      </c>
      <c r="E47" t="s">
        <v>4</v>
      </c>
      <c r="F47">
        <v>1</v>
      </c>
      <c r="G47">
        <v>1200</v>
      </c>
      <c r="H47" t="s">
        <v>88</v>
      </c>
      <c r="I47">
        <v>27</v>
      </c>
      <c r="J47" s="1">
        <v>45087</v>
      </c>
      <c r="K47" t="s">
        <v>39</v>
      </c>
      <c r="L47">
        <f t="shared" si="0"/>
        <v>1200</v>
      </c>
      <c r="T47" t="str">
        <v>Junior</v>
      </c>
    </row>
    <row r="48" spans="1:20">
      <c r="A48">
        <v>47</v>
      </c>
      <c r="B48" t="s">
        <v>28</v>
      </c>
      <c r="C48" t="s">
        <v>8</v>
      </c>
      <c r="D48" t="s">
        <v>37</v>
      </c>
      <c r="E48" t="s">
        <v>3</v>
      </c>
      <c r="F48">
        <v>2</v>
      </c>
      <c r="G48">
        <v>2500</v>
      </c>
      <c r="H48" t="s">
        <v>89</v>
      </c>
      <c r="I48">
        <v>36</v>
      </c>
      <c r="J48" s="1">
        <v>45091</v>
      </c>
      <c r="K48" t="s">
        <v>31</v>
      </c>
      <c r="L48">
        <f t="shared" si="0"/>
        <v>5000</v>
      </c>
      <c r="T48" t="str">
        <v>Senior</v>
      </c>
    </row>
    <row r="49" spans="1:20">
      <c r="A49">
        <v>48</v>
      </c>
      <c r="B49" t="s">
        <v>42</v>
      </c>
      <c r="C49" t="s">
        <v>11</v>
      </c>
      <c r="D49" t="s">
        <v>49</v>
      </c>
      <c r="E49" t="s">
        <v>6</v>
      </c>
      <c r="F49">
        <v>1</v>
      </c>
      <c r="G49">
        <v>4200</v>
      </c>
      <c r="H49" t="s">
        <v>90</v>
      </c>
      <c r="I49">
        <v>42</v>
      </c>
      <c r="J49" s="1">
        <v>45094</v>
      </c>
      <c r="K49" t="s">
        <v>35</v>
      </c>
      <c r="L49">
        <f t="shared" si="0"/>
        <v>4200</v>
      </c>
      <c r="T49" t="str">
        <v>Senior</v>
      </c>
    </row>
    <row r="50" spans="1:20">
      <c r="A50">
        <v>49</v>
      </c>
      <c r="B50" t="s">
        <v>36</v>
      </c>
      <c r="C50" t="s">
        <v>9</v>
      </c>
      <c r="D50" t="s">
        <v>29</v>
      </c>
      <c r="E50" t="s">
        <v>5</v>
      </c>
      <c r="F50">
        <v>1</v>
      </c>
      <c r="G50">
        <v>15000</v>
      </c>
      <c r="H50" t="s">
        <v>91</v>
      </c>
      <c r="I50">
        <v>29</v>
      </c>
      <c r="J50" s="1">
        <v>45098</v>
      </c>
      <c r="K50" t="s">
        <v>31</v>
      </c>
      <c r="L50">
        <f t="shared" si="0"/>
        <v>15000</v>
      </c>
      <c r="T50" t="str">
        <v>Junior</v>
      </c>
    </row>
    <row r="51" spans="1:20">
      <c r="A51">
        <v>50</v>
      </c>
      <c r="B51" t="s">
        <v>28</v>
      </c>
      <c r="C51" t="s">
        <v>8</v>
      </c>
      <c r="D51" t="s">
        <v>47</v>
      </c>
      <c r="E51" t="s">
        <v>4</v>
      </c>
      <c r="F51">
        <v>6</v>
      </c>
      <c r="G51">
        <v>350</v>
      </c>
      <c r="H51" t="s">
        <v>92</v>
      </c>
      <c r="I51">
        <v>33</v>
      </c>
      <c r="J51" s="1">
        <v>45101</v>
      </c>
      <c r="K51" t="s">
        <v>39</v>
      </c>
      <c r="L51">
        <f t="shared" si="0"/>
        <v>2100</v>
      </c>
      <c r="T51" t="str">
        <v>Junior</v>
      </c>
    </row>
    <row r="52" spans="1:20">
      <c r="A52">
        <v>51</v>
      </c>
      <c r="B52" t="s">
        <v>44</v>
      </c>
      <c r="C52" t="s">
        <v>10</v>
      </c>
      <c r="D52" t="s">
        <v>45</v>
      </c>
      <c r="E52" t="s">
        <v>3</v>
      </c>
      <c r="F52">
        <v>1</v>
      </c>
      <c r="G52">
        <v>1800</v>
      </c>
      <c r="H52" t="s">
        <v>93</v>
      </c>
      <c r="I52">
        <v>25</v>
      </c>
      <c r="J52" s="1">
        <v>45105</v>
      </c>
      <c r="K52" t="s">
        <v>35</v>
      </c>
      <c r="L52">
        <f t="shared" si="0"/>
        <v>1800</v>
      </c>
      <c r="T52" t="str">
        <v>Junior</v>
      </c>
    </row>
    <row r="53" spans="1:20">
      <c r="A53">
        <v>52</v>
      </c>
      <c r="B53" t="s">
        <v>32</v>
      </c>
      <c r="C53" t="s">
        <v>11</v>
      </c>
      <c r="D53" t="s">
        <v>29</v>
      </c>
      <c r="E53" t="s">
        <v>5</v>
      </c>
      <c r="F53">
        <v>2</v>
      </c>
      <c r="G53">
        <v>15000</v>
      </c>
      <c r="H53" t="s">
        <v>94</v>
      </c>
      <c r="I53">
        <v>47</v>
      </c>
      <c r="J53" s="1">
        <v>45108</v>
      </c>
      <c r="K53" t="s">
        <v>31</v>
      </c>
      <c r="L53">
        <f t="shared" si="0"/>
        <v>30000</v>
      </c>
      <c r="T53" t="str">
        <v>Senior</v>
      </c>
    </row>
    <row r="54" spans="1:20">
      <c r="A54">
        <v>53</v>
      </c>
      <c r="B54" t="s">
        <v>36</v>
      </c>
      <c r="C54" t="s">
        <v>9</v>
      </c>
      <c r="D54" t="s">
        <v>40</v>
      </c>
      <c r="E54" t="s">
        <v>6</v>
      </c>
      <c r="F54">
        <v>1</v>
      </c>
      <c r="G54">
        <v>3500</v>
      </c>
      <c r="H54" t="s">
        <v>95</v>
      </c>
      <c r="I54">
        <v>38</v>
      </c>
      <c r="J54" s="1">
        <v>45112</v>
      </c>
      <c r="K54" t="s">
        <v>39</v>
      </c>
      <c r="L54">
        <f t="shared" si="0"/>
        <v>3500</v>
      </c>
      <c r="T54" t="str">
        <v>Senior</v>
      </c>
    </row>
    <row r="55" spans="1:20">
      <c r="A55">
        <v>54</v>
      </c>
      <c r="B55" t="s">
        <v>28</v>
      </c>
      <c r="C55" t="s">
        <v>8</v>
      </c>
      <c r="D55" t="s">
        <v>33</v>
      </c>
      <c r="E55" t="s">
        <v>4</v>
      </c>
      <c r="F55">
        <v>2</v>
      </c>
      <c r="G55">
        <v>1200</v>
      </c>
      <c r="H55" t="s">
        <v>96</v>
      </c>
      <c r="I55">
        <v>31</v>
      </c>
      <c r="J55" s="1">
        <v>45115</v>
      </c>
      <c r="K55" t="s">
        <v>35</v>
      </c>
      <c r="L55">
        <f t="shared" si="0"/>
        <v>2400</v>
      </c>
      <c r="T55" t="str">
        <v>Junior</v>
      </c>
    </row>
    <row r="56" spans="1:20">
      <c r="A56">
        <v>55</v>
      </c>
      <c r="B56" t="s">
        <v>42</v>
      </c>
      <c r="C56" t="s">
        <v>11</v>
      </c>
      <c r="D56" t="s">
        <v>37</v>
      </c>
      <c r="E56" t="s">
        <v>3</v>
      </c>
      <c r="F56">
        <v>2</v>
      </c>
      <c r="G56">
        <v>2500</v>
      </c>
      <c r="H56" t="s">
        <v>97</v>
      </c>
      <c r="I56">
        <v>44</v>
      </c>
      <c r="J56" s="1">
        <v>45119</v>
      </c>
      <c r="K56" t="s">
        <v>31</v>
      </c>
      <c r="L56">
        <f t="shared" si="0"/>
        <v>5000</v>
      </c>
      <c r="T56" t="str">
        <v>Senior</v>
      </c>
    </row>
    <row r="57" spans="1:20">
      <c r="A57">
        <v>56</v>
      </c>
      <c r="B57" t="s">
        <v>44</v>
      </c>
      <c r="C57" t="s">
        <v>10</v>
      </c>
      <c r="D57" t="s">
        <v>49</v>
      </c>
      <c r="E57" t="s">
        <v>6</v>
      </c>
      <c r="F57">
        <v>1</v>
      </c>
      <c r="G57">
        <v>4200</v>
      </c>
      <c r="H57" t="s">
        <v>98</v>
      </c>
      <c r="I57">
        <v>28</v>
      </c>
      <c r="J57" s="1">
        <v>45122</v>
      </c>
      <c r="K57" t="s">
        <v>39</v>
      </c>
      <c r="L57">
        <f t="shared" si="0"/>
        <v>4200</v>
      </c>
      <c r="T57" t="str">
        <v>Junior</v>
      </c>
    </row>
    <row r="58" spans="1:20">
      <c r="A58">
        <v>57</v>
      </c>
      <c r="B58" t="s">
        <v>28</v>
      </c>
      <c r="C58" t="s">
        <v>8</v>
      </c>
      <c r="D58" t="s">
        <v>29</v>
      </c>
      <c r="E58" t="s">
        <v>5</v>
      </c>
      <c r="F58">
        <v>1</v>
      </c>
      <c r="G58">
        <v>15000</v>
      </c>
      <c r="H58" t="s">
        <v>99</v>
      </c>
      <c r="I58">
        <v>35</v>
      </c>
      <c r="J58" s="1">
        <v>45126</v>
      </c>
      <c r="K58" t="s">
        <v>31</v>
      </c>
      <c r="L58">
        <f t="shared" si="0"/>
        <v>15000</v>
      </c>
      <c r="T58" t="str">
        <v>Junior</v>
      </c>
    </row>
    <row r="59" spans="1:20">
      <c r="A59">
        <v>58</v>
      </c>
      <c r="B59" t="s">
        <v>36</v>
      </c>
      <c r="C59" t="s">
        <v>9</v>
      </c>
      <c r="D59" t="s">
        <v>47</v>
      </c>
      <c r="E59" t="s">
        <v>4</v>
      </c>
      <c r="F59">
        <v>3</v>
      </c>
      <c r="G59">
        <v>350</v>
      </c>
      <c r="H59" t="s">
        <v>100</v>
      </c>
      <c r="I59">
        <v>26</v>
      </c>
      <c r="J59" s="1">
        <v>45129</v>
      </c>
      <c r="K59" t="s">
        <v>35</v>
      </c>
      <c r="L59">
        <f t="shared" si="0"/>
        <v>1050</v>
      </c>
      <c r="T59" t="str">
        <v>Junior</v>
      </c>
    </row>
    <row r="60" spans="1:20">
      <c r="A60">
        <v>59</v>
      </c>
      <c r="B60" t="s">
        <v>32</v>
      </c>
      <c r="C60" t="s">
        <v>11</v>
      </c>
      <c r="D60" t="s">
        <v>45</v>
      </c>
      <c r="E60" t="s">
        <v>3</v>
      </c>
      <c r="F60">
        <v>1</v>
      </c>
      <c r="G60">
        <v>1800</v>
      </c>
      <c r="H60" t="s">
        <v>101</v>
      </c>
      <c r="I60">
        <v>39</v>
      </c>
      <c r="J60" s="1">
        <v>45133</v>
      </c>
      <c r="K60" t="s">
        <v>39</v>
      </c>
      <c r="L60">
        <f t="shared" si="0"/>
        <v>1800</v>
      </c>
      <c r="T60" t="str">
        <v>Senior</v>
      </c>
    </row>
    <row r="61" spans="1:20">
      <c r="A61">
        <v>60</v>
      </c>
      <c r="B61" t="s">
        <v>28</v>
      </c>
      <c r="C61" t="s">
        <v>8</v>
      </c>
      <c r="D61" t="s">
        <v>40</v>
      </c>
      <c r="E61" t="s">
        <v>6</v>
      </c>
      <c r="F61">
        <v>2</v>
      </c>
      <c r="G61">
        <v>3500</v>
      </c>
      <c r="H61" t="s">
        <v>102</v>
      </c>
      <c r="I61">
        <v>43</v>
      </c>
      <c r="J61" s="1">
        <v>45136</v>
      </c>
      <c r="K61" t="s">
        <v>31</v>
      </c>
      <c r="L61">
        <f t="shared" si="0"/>
        <v>7000</v>
      </c>
      <c r="T61" t="str">
        <v>Senior</v>
      </c>
    </row>
  </sheetData>
  <conditionalFormatting sqref="L2:L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2026-04-23T15:58:36Z</dcterms:created>
  <dcterms:modified xsi:type="dcterms:W3CDTF">2026-04-23T16:39:48Z</dcterms:modified>
  <cp:category/>
  <cp:contentStatus/>
</cp:coreProperties>
</file>